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sus\Downloads\IU2541230087_PROJECT_source\IU2541230087_PROJECT\"/>
    </mc:Choice>
  </mc:AlternateContent>
  <xr:revisionPtr revIDLastSave="0" documentId="13_ncr:1_{71C9BE9B-9C69-442F-8694-1BBBA2881BEA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Test Cases" sheetId="1" r:id="rId1"/>
    <sheet name="Summary" sheetId="2" r:id="rId2"/>
    <sheet name="How to use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4" i="2" l="1"/>
  <c r="B3" i="2"/>
  <c r="B2" i="2"/>
  <c r="B5" i="2" l="1"/>
</calcChain>
</file>

<file path=xl/sharedStrings.xml><?xml version="1.0" encoding="utf-8"?>
<sst xmlns="http://schemas.openxmlformats.org/spreadsheetml/2006/main" count="111" uniqueCount="88">
  <si>
    <t>Test ID</t>
  </si>
  <si>
    <t>Operation</t>
  </si>
  <si>
    <t>Menu keys / inputs to type (each item = one line + Enter)</t>
  </si>
  <si>
    <t>Expected Output</t>
  </si>
  <si>
    <t>Actual Output (type what you saw)</t>
  </si>
  <si>
    <t>Pass/Fail</t>
  </si>
  <si>
    <t>T01</t>
  </si>
  <si>
    <t>Add employee</t>
  </si>
  <si>
    <t>1, 1, E103, Neha Joshi, HR</t>
  </si>
  <si>
    <t>Employee added successfully.</t>
  </si>
  <si>
    <t>T02</t>
  </si>
  <si>
    <t>Add employee with duplicate ID</t>
  </si>
  <si>
    <t>1, 1, E101, Test User, IT</t>
  </si>
  <si>
    <t>[ERROR] Duplicate record: Person ID E101 already exists</t>
  </si>
  <si>
    <t>T03</t>
  </si>
  <si>
    <t>Add vehicle</t>
  </si>
  <si>
    <t>1, 3, GJ05XY9999, Car, E103</t>
  </si>
  <si>
    <t>Vehicle added successfully.</t>
  </si>
  <si>
    <t>T04</t>
  </si>
  <si>
    <t>Add vehicle with unknown owner</t>
  </si>
  <si>
    <t>1, 3, GJ06AB1111, Bike, E999</t>
  </si>
  <si>
    <t>[ERROR] Not found: Owner ID E999 is not a registered person</t>
  </si>
  <si>
    <t>T05</t>
  </si>
  <si>
    <t>Issue pass</t>
  </si>
  <si>
    <t>6, 1, E103, GJ05XY9999, (blank), 2027-06-30</t>
  </si>
  <si>
    <t>Pass issued successfully: [PASS] P003 | Person: E103 | Vehicle: GJ05XY9999 | Issued: &lt;today's date&gt; | Expires: 2027-06-30 | Status: ACTIVE</t>
  </si>
  <si>
    <t>T06</t>
  </si>
  <si>
    <t>Issue pass with invalid date</t>
  </si>
  <si>
    <t>6, 1, E102, (blank), 2026-13-40, 2027-03-31</t>
  </si>
  <si>
    <t>[ERROR] Validation failed: Issue date must be a valid date in YYYY-MM-DD format</t>
  </si>
  <si>
    <t>T07</t>
  </si>
  <si>
    <t>Record gate entry (IN)</t>
  </si>
  <si>
    <t>6, 3, P001, S01, IN</t>
  </si>
  <si>
    <t>Gate movement recorded: [LOG] L001 | Pass: P001 | IN | &lt;date&gt; &lt;time&gt; | Guard: S01</t>
  </si>
  <si>
    <t>T08</t>
  </si>
  <si>
    <t>Second IN for the same pass</t>
  </si>
  <si>
    <t>[ERROR] Pass rejected: pass P001 is already inside (record OUT first)</t>
  </si>
  <si>
    <t>T09</t>
  </si>
  <si>
    <t>Record gate exit (OUT)</t>
  </si>
  <si>
    <t>6, 3, P001, S01, OUT</t>
  </si>
  <si>
    <t>Gate movement recorded: [LOG] L002 | Pass: P001 | OUT | &lt;date&gt; &lt;time&gt; | Guard: S01</t>
  </si>
  <si>
    <t>T10</t>
  </si>
  <si>
    <t>Search person by ID</t>
  </si>
  <si>
    <t>3, 1, E101</t>
  </si>
  <si>
    <t>[EMPLOYEE] E101 | Rahul Shah | Dept: Operations</t>
  </si>
  <si>
    <t>T11</t>
  </si>
  <si>
    <t>Update person name</t>
  </si>
  <si>
    <t>4, 1, E101, Rahul K Shah</t>
  </si>
  <si>
    <t>Name updated.   (then 3, 1, E101 shows: [EMPLOYEE] E101 | Rahul K Shah | Dept: Operations)</t>
  </si>
  <si>
    <t>T12</t>
  </si>
  <si>
    <t>Revoke pass</t>
  </si>
  <si>
    <t>6, 4, P002</t>
  </si>
  <si>
    <t>Pass revoked.</t>
  </si>
  <si>
    <t>T13</t>
  </si>
  <si>
    <t>Verify a revoked pass</t>
  </si>
  <si>
    <t>6, 2, P002, S01</t>
  </si>
  <si>
    <t>[ERROR] Pass rejected: pass P002 has been revoked</t>
  </si>
  <si>
    <t>T14</t>
  </si>
  <si>
    <t>Delete person who has an active pass</t>
  </si>
  <si>
    <t>5, 1, E101, Y</t>
  </si>
  <si>
    <t>[ERROR] Operation not allowed: Person E101 has active pass P001. Revoke it first.</t>
  </si>
  <si>
    <t>T15</t>
  </si>
  <si>
    <t>Persistence: save, close, reopen</t>
  </si>
  <si>
    <t>7 (report), then 9, Y.  Run .\gatepass.exe again, then 2, 6</t>
  </si>
  <si>
    <t>On restart: Loaded 14 record(s) from the Data folder.  All records still shown, incl. E103, GJ05XY9999, P003, P002 (REVOKED), logs L001 and L002, and E101 as 'Rahul K Shah'.</t>
  </si>
  <si>
    <t>Test Summary</t>
  </si>
  <si>
    <t>Total test cases</t>
  </si>
  <si>
    <t>Passed</t>
  </si>
  <si>
    <t>Failed</t>
  </si>
  <si>
    <t>Not yet recorded</t>
  </si>
  <si>
    <t>HOW TO USE THIS SHEET</t>
  </si>
  <si>
    <t>1. Start from the original sample data (restore your Data_backup folder if you have run the program before).</t>
  </si>
  <si>
    <t>2. Run .\gatepass.exe and do the tests in order, T01 to T15, in ONE session. Later tests depend on earlier ones.</t>
  </si>
  <si>
    <t>3. For each test, type the items in column C one at a time, pressing Enter after each. '(blank)' means just press Enter.</t>
  </si>
  <si>
    <t>4. Write what the program actually printed in column E (yellow). Copy the text from the terminal: select it, then Ctrl+C.</t>
  </si>
  <si>
    <t>5. In column F choose Pass if it matches the Expected Output, otherwise Fail.</t>
  </si>
  <si>
    <t>6. Take a screenshot for each test (or at least T05, T08, T14, T15, the report and the main menu) for the report.</t>
  </si>
  <si>
    <t>Example of a filled Actual Output cell (T01):  Employee added successfully.</t>
  </si>
  <si>
    <t>Notes: dates and times in T05, T07 and T09 will be your computer's current date and time.</t>
  </si>
  <si>
    <t>Expected results were produced by running this exact sequence on the supplied sample data.</t>
  </si>
  <si>
    <t>Exployee Added sucessfully</t>
  </si>
  <si>
    <t>Pass</t>
  </si>
  <si>
    <t>Image</t>
  </si>
  <si>
    <t>[ERROR] Duplicate record: Person ID E103 already exists</t>
  </si>
  <si>
    <t>Pass issued successfully:
[PASS]     P003 | Person: E103 | Vehicle: GJ05XY9999 | Issued: 2026-10-04 | Expires: 2027-06-30 | Status: ACTIVE</t>
  </si>
  <si>
    <t>Gate movement recorded:
[LOG]      L001 | Pass: P001 | IN | 2026-10-04 18:42:26 | Guard: S01</t>
  </si>
  <si>
    <t>Gate movement recorded:
[LOG]      L002 | Pass: P001 | OUT | 2026-10-04 18:48:47 | Guard: S01</t>
  </si>
  <si>
    <t>Name updated.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</si>
</sst>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</font>
    <font>
      <b/>
      <sz val="11"/>
      <name val="Times New Roman"/>
      <charset val="1"/>
    </font>
    <font>
      <sz val="11"/>
      <name val="Times New Roman"/>
      <charset val="1"/>
    </font>
    <font>
      <b/>
      <sz val="12"/>
      <name val="Times New Roman"/>
      <charset val="1"/>
    </font>
    <font>
      <sz val="12"/>
      <name val="Times New Roman"/>
      <charset val="1"/>
    </font>
    <font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0" borderId="0" xfId="0" applyFont="1"/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1" fillId="0" borderId="1" xfId="0" applyFont="1" applyFill="1" applyBorder="1" applyAlignment="1">
      <alignment horizontal="center" vertical="center" wrapText="1"/>
    </xf>
    <xf numFmtId="0" fontId="0" fillId="0" borderId="0" xfId="0" applyFill="1"/>
    <xf numFmtId="0" fontId="2" fillId="0" borderId="1" xfId="0" applyFont="1" applyFill="1" applyBorder="1" applyAlignment="1">
      <alignment horizontal="center" vertical="top" wrapText="1"/>
    </xf>
    <xf numFmtId="0" fontId="2" fillId="0" borderId="1" xfId="0" applyFont="1" applyFill="1" applyBorder="1" applyAlignment="1">
      <alignment horizontal="left" vertical="top" wrapText="1"/>
    </xf>
    <xf numFmtId="0" fontId="5" fillId="0" borderId="1" xfId="0" applyFont="1" applyFill="1" applyBorder="1" applyAlignment="1">
      <alignment horizontal="left" vertical="top" wrapText="1"/>
    </xf>
    <xf numFmtId="0" fontId="5" fillId="0" borderId="1" xfId="0" applyFont="1" applyFill="1" applyBorder="1" applyAlignment="1">
      <alignment horizontal="center" vertical="top" wrapText="1"/>
    </xf>
    <xf numFmtId="0" fontId="2" fillId="0" borderId="0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1548338</xdr:colOff>
      <xdr:row>1</xdr:row>
      <xdr:rowOff>22861</xdr:rowOff>
    </xdr:from>
    <xdr:to>
      <xdr:col>5</xdr:col>
      <xdr:colOff>2286000</xdr:colOff>
      <xdr:row>1</xdr:row>
      <xdr:rowOff>682342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9ED15C2-4E1D-7D09-904C-CD9525B57C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127178" y="449581"/>
          <a:ext cx="737662" cy="659481"/>
        </a:xfrm>
        <a:prstGeom prst="rect">
          <a:avLst/>
        </a:prstGeom>
      </xdr:spPr>
    </xdr:pic>
    <xdr:clientData/>
  </xdr:twoCellAnchor>
  <xdr:twoCellAnchor editAs="oneCell">
    <xdr:from>
      <xdr:col>5</xdr:col>
      <xdr:colOff>1546860</xdr:colOff>
      <xdr:row>2</xdr:row>
      <xdr:rowOff>26947</xdr:rowOff>
    </xdr:from>
    <xdr:to>
      <xdr:col>5</xdr:col>
      <xdr:colOff>2522220</xdr:colOff>
      <xdr:row>2</xdr:row>
      <xdr:rowOff>701455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A87C7F0-72AB-721A-C029-57564B8833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125700" y="1230907"/>
          <a:ext cx="975360" cy="674508"/>
        </a:xfrm>
        <a:prstGeom prst="rect">
          <a:avLst/>
        </a:prstGeom>
      </xdr:spPr>
    </xdr:pic>
    <xdr:clientData/>
  </xdr:twoCellAnchor>
  <xdr:twoCellAnchor editAs="oneCell">
    <xdr:from>
      <xdr:col>5</xdr:col>
      <xdr:colOff>1643184</xdr:colOff>
      <xdr:row>3</xdr:row>
      <xdr:rowOff>53340</xdr:rowOff>
    </xdr:from>
    <xdr:to>
      <xdr:col>5</xdr:col>
      <xdr:colOff>2507458</xdr:colOff>
      <xdr:row>3</xdr:row>
      <xdr:rowOff>747143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0A14D5F-7630-ADD1-EE8D-5BC082F101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222024" y="2034540"/>
          <a:ext cx="864274" cy="693803"/>
        </a:xfrm>
        <a:prstGeom prst="rect">
          <a:avLst/>
        </a:prstGeom>
      </xdr:spPr>
    </xdr:pic>
    <xdr:clientData/>
  </xdr:twoCellAnchor>
  <xdr:twoCellAnchor editAs="oneCell">
    <xdr:from>
      <xdr:col>5</xdr:col>
      <xdr:colOff>1621067</xdr:colOff>
      <xdr:row>4</xdr:row>
      <xdr:rowOff>9548</xdr:rowOff>
    </xdr:from>
    <xdr:to>
      <xdr:col>5</xdr:col>
      <xdr:colOff>2636520</xdr:colOff>
      <xdr:row>5</xdr:row>
      <xdr:rowOff>8036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AB943C6-1B25-8AF6-D413-055EC822D8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199907" y="2767988"/>
          <a:ext cx="1015453" cy="775728"/>
        </a:xfrm>
        <a:prstGeom prst="rect">
          <a:avLst/>
        </a:prstGeom>
      </xdr:spPr>
    </xdr:pic>
    <xdr:clientData/>
  </xdr:twoCellAnchor>
  <xdr:twoCellAnchor editAs="oneCell">
    <xdr:from>
      <xdr:col>5</xdr:col>
      <xdr:colOff>1252975</xdr:colOff>
      <xdr:row>5</xdr:row>
      <xdr:rowOff>27146</xdr:rowOff>
    </xdr:from>
    <xdr:to>
      <xdr:col>5</xdr:col>
      <xdr:colOff>2819400</xdr:colOff>
      <xdr:row>5</xdr:row>
      <xdr:rowOff>922445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FD12AD01-C1E9-DCC5-6EB5-2A212C2FB8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831815" y="3562826"/>
          <a:ext cx="1566425" cy="895299"/>
        </a:xfrm>
        <a:prstGeom prst="rect">
          <a:avLst/>
        </a:prstGeom>
      </xdr:spPr>
    </xdr:pic>
    <xdr:clientData/>
  </xdr:twoCellAnchor>
  <xdr:twoCellAnchor editAs="oneCell">
    <xdr:from>
      <xdr:col>5</xdr:col>
      <xdr:colOff>1575702</xdr:colOff>
      <xdr:row>6</xdr:row>
      <xdr:rowOff>60960</xdr:rowOff>
    </xdr:from>
    <xdr:to>
      <xdr:col>5</xdr:col>
      <xdr:colOff>2758440</xdr:colOff>
      <xdr:row>6</xdr:row>
      <xdr:rowOff>724323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EE036BC9-FEDF-081E-026A-786F079FA4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5154542" y="4587240"/>
          <a:ext cx="1182738" cy="663363"/>
        </a:xfrm>
        <a:prstGeom prst="rect">
          <a:avLst/>
        </a:prstGeom>
      </xdr:spPr>
    </xdr:pic>
    <xdr:clientData/>
  </xdr:twoCellAnchor>
  <xdr:twoCellAnchor editAs="oneCell">
    <xdr:from>
      <xdr:col>5</xdr:col>
      <xdr:colOff>1699260</xdr:colOff>
      <xdr:row>7</xdr:row>
      <xdr:rowOff>16511</xdr:rowOff>
    </xdr:from>
    <xdr:to>
      <xdr:col>5</xdr:col>
      <xdr:colOff>2652254</xdr:colOff>
      <xdr:row>8</xdr:row>
      <xdr:rowOff>23267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940D8F5D-C64E-739E-5C24-27F01154E6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5278100" y="5320031"/>
          <a:ext cx="952994" cy="783996"/>
        </a:xfrm>
        <a:prstGeom prst="rect">
          <a:avLst/>
        </a:prstGeom>
      </xdr:spPr>
    </xdr:pic>
    <xdr:clientData/>
  </xdr:twoCellAnchor>
  <xdr:twoCellAnchor editAs="oneCell">
    <xdr:from>
      <xdr:col>5</xdr:col>
      <xdr:colOff>1718345</xdr:colOff>
      <xdr:row>8</xdr:row>
      <xdr:rowOff>49917</xdr:rowOff>
    </xdr:from>
    <xdr:to>
      <xdr:col>5</xdr:col>
      <xdr:colOff>2613660</xdr:colOff>
      <xdr:row>8</xdr:row>
      <xdr:rowOff>739463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A80A8DC8-3793-7F25-2FAD-B702F24364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5297185" y="6130677"/>
          <a:ext cx="895315" cy="689546"/>
        </a:xfrm>
        <a:prstGeom prst="rect">
          <a:avLst/>
        </a:prstGeom>
      </xdr:spPr>
    </xdr:pic>
    <xdr:clientData/>
  </xdr:twoCellAnchor>
  <xdr:twoCellAnchor editAs="oneCell">
    <xdr:from>
      <xdr:col>5</xdr:col>
      <xdr:colOff>1729741</xdr:colOff>
      <xdr:row>9</xdr:row>
      <xdr:rowOff>22245</xdr:rowOff>
    </xdr:from>
    <xdr:to>
      <xdr:col>5</xdr:col>
      <xdr:colOff>2621281</xdr:colOff>
      <xdr:row>9</xdr:row>
      <xdr:rowOff>754791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E3BB3338-8238-A64D-7F84-E1C03A52CA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5308581" y="6880245"/>
          <a:ext cx="891540" cy="732546"/>
        </a:xfrm>
        <a:prstGeom prst="rect">
          <a:avLst/>
        </a:prstGeom>
      </xdr:spPr>
    </xdr:pic>
    <xdr:clientData/>
  </xdr:twoCellAnchor>
  <xdr:twoCellAnchor editAs="oneCell">
    <xdr:from>
      <xdr:col>5</xdr:col>
      <xdr:colOff>1648693</xdr:colOff>
      <xdr:row>10</xdr:row>
      <xdr:rowOff>42603</xdr:rowOff>
    </xdr:from>
    <xdr:to>
      <xdr:col>5</xdr:col>
      <xdr:colOff>2590800</xdr:colOff>
      <xdr:row>10</xdr:row>
      <xdr:rowOff>739521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94FEC63-F75D-8D6E-A49D-0C7A212F8D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5227533" y="7677843"/>
          <a:ext cx="942107" cy="696918"/>
        </a:xfrm>
        <a:prstGeom prst="rect">
          <a:avLst/>
        </a:prstGeom>
      </xdr:spPr>
    </xdr:pic>
    <xdr:clientData/>
  </xdr:twoCellAnchor>
  <xdr:twoCellAnchor editAs="oneCell">
    <xdr:from>
      <xdr:col>5</xdr:col>
      <xdr:colOff>1679219</xdr:colOff>
      <xdr:row>11</xdr:row>
      <xdr:rowOff>30480</xdr:rowOff>
    </xdr:from>
    <xdr:to>
      <xdr:col>5</xdr:col>
      <xdr:colOff>2523401</xdr:colOff>
      <xdr:row>11</xdr:row>
      <xdr:rowOff>770031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BD375553-8BB7-0D5A-8013-B0E6EED107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5258059" y="8442960"/>
          <a:ext cx="844182" cy="739551"/>
        </a:xfrm>
        <a:prstGeom prst="rect">
          <a:avLst/>
        </a:prstGeom>
      </xdr:spPr>
    </xdr:pic>
    <xdr:clientData/>
  </xdr:twoCellAnchor>
  <xdr:twoCellAnchor editAs="oneCell">
    <xdr:from>
      <xdr:col>5</xdr:col>
      <xdr:colOff>1568008</xdr:colOff>
      <xdr:row>12</xdr:row>
      <xdr:rowOff>53340</xdr:rowOff>
    </xdr:from>
    <xdr:to>
      <xdr:col>5</xdr:col>
      <xdr:colOff>2567939</xdr:colOff>
      <xdr:row>12</xdr:row>
      <xdr:rowOff>709025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10A86270-00AF-AEC4-2866-53AD8B6465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5146848" y="9243060"/>
          <a:ext cx="999931" cy="655685"/>
        </a:xfrm>
        <a:prstGeom prst="rect">
          <a:avLst/>
        </a:prstGeom>
      </xdr:spPr>
    </xdr:pic>
    <xdr:clientData/>
  </xdr:twoCellAnchor>
  <xdr:twoCellAnchor editAs="oneCell">
    <xdr:from>
      <xdr:col>5</xdr:col>
      <xdr:colOff>1645615</xdr:colOff>
      <xdr:row>13</xdr:row>
      <xdr:rowOff>24712</xdr:rowOff>
    </xdr:from>
    <xdr:to>
      <xdr:col>5</xdr:col>
      <xdr:colOff>2484120</xdr:colOff>
      <xdr:row>14</xdr:row>
      <xdr:rowOff>13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2318451E-3926-566E-EB73-58DD9A3694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5224455" y="9991672"/>
          <a:ext cx="838505" cy="752541"/>
        </a:xfrm>
        <a:prstGeom prst="rect">
          <a:avLst/>
        </a:prstGeom>
      </xdr:spPr>
    </xdr:pic>
    <xdr:clientData/>
  </xdr:twoCellAnchor>
  <xdr:twoCellAnchor editAs="oneCell">
    <xdr:from>
      <xdr:col>5</xdr:col>
      <xdr:colOff>1587921</xdr:colOff>
      <xdr:row>14</xdr:row>
      <xdr:rowOff>37040</xdr:rowOff>
    </xdr:from>
    <xdr:to>
      <xdr:col>5</xdr:col>
      <xdr:colOff>2621280</xdr:colOff>
      <xdr:row>15</xdr:row>
      <xdr:rowOff>394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FFC3C058-70C1-A55C-7F7E-23E7436F60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5166761" y="10781240"/>
          <a:ext cx="1033359" cy="740594"/>
        </a:xfrm>
        <a:prstGeom prst="rect">
          <a:avLst/>
        </a:prstGeom>
      </xdr:spPr>
    </xdr:pic>
    <xdr:clientData/>
  </xdr:twoCellAnchor>
  <xdr:twoCellAnchor editAs="oneCell">
    <xdr:from>
      <xdr:col>5</xdr:col>
      <xdr:colOff>1468846</xdr:colOff>
      <xdr:row>15</xdr:row>
      <xdr:rowOff>53339</xdr:rowOff>
    </xdr:from>
    <xdr:to>
      <xdr:col>5</xdr:col>
      <xdr:colOff>2727960</xdr:colOff>
      <xdr:row>15</xdr:row>
      <xdr:rowOff>1083014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8D07C4C-B49F-88BA-1B0C-944A07208F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5047686" y="11574779"/>
          <a:ext cx="1259114" cy="10296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"/>
  <sheetViews>
    <sheetView tabSelected="1" topLeftCell="B1" zoomScaleNormal="100" workbookViewId="0">
      <pane ySplit="1" topLeftCell="A13" activePane="bottomLeft" state="frozen"/>
      <selection pane="bottomLeft" activeCell="D19" sqref="D19"/>
    </sheetView>
  </sheetViews>
  <sheetFormatPr defaultColWidth="8.6640625" defaultRowHeight="14.4" x14ac:dyDescent="0.3"/>
  <cols>
    <col min="1" max="1" width="9" style="7" customWidth="1"/>
    <col min="2" max="2" width="30" style="7" customWidth="1"/>
    <col min="3" max="3" width="42" style="7" customWidth="1"/>
    <col min="4" max="4" width="62" style="7" customWidth="1"/>
    <col min="5" max="6" width="55" style="7" customWidth="1"/>
    <col min="7" max="7" width="12" style="7" customWidth="1"/>
    <col min="8" max="16384" width="8.6640625" style="7"/>
  </cols>
  <sheetData>
    <row r="1" spans="1:7" ht="33.75" customHeight="1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82</v>
      </c>
      <c r="G1" s="6" t="s">
        <v>5</v>
      </c>
    </row>
    <row r="2" spans="1:7" ht="61.5" customHeight="1" x14ac:dyDescent="0.3">
      <c r="A2" s="8" t="s">
        <v>6</v>
      </c>
      <c r="B2" s="9" t="s">
        <v>7</v>
      </c>
      <c r="C2" s="9" t="s">
        <v>8</v>
      </c>
      <c r="D2" s="9" t="s">
        <v>9</v>
      </c>
      <c r="E2" s="9" t="s">
        <v>80</v>
      </c>
      <c r="F2" s="6"/>
      <c r="G2" s="8" t="s">
        <v>81</v>
      </c>
    </row>
    <row r="3" spans="1:7" ht="61.5" customHeight="1" x14ac:dyDescent="0.3">
      <c r="A3" s="8" t="s">
        <v>10</v>
      </c>
      <c r="B3" s="9" t="s">
        <v>11</v>
      </c>
      <c r="C3" s="9" t="s">
        <v>12</v>
      </c>
      <c r="D3" s="9" t="s">
        <v>13</v>
      </c>
      <c r="E3" s="9" t="s">
        <v>83</v>
      </c>
      <c r="F3" s="9"/>
      <c r="G3" s="8" t="s">
        <v>81</v>
      </c>
    </row>
    <row r="4" spans="1:7" ht="61.5" customHeight="1" x14ac:dyDescent="0.3">
      <c r="A4" s="8" t="s">
        <v>14</v>
      </c>
      <c r="B4" s="9" t="s">
        <v>15</v>
      </c>
      <c r="C4" s="9" t="s">
        <v>16</v>
      </c>
      <c r="D4" s="9" t="s">
        <v>17</v>
      </c>
      <c r="E4" s="9" t="s">
        <v>17</v>
      </c>
      <c r="F4" s="9"/>
      <c r="G4" s="8" t="s">
        <v>81</v>
      </c>
    </row>
    <row r="5" spans="1:7" ht="61.5" customHeight="1" x14ac:dyDescent="0.3">
      <c r="A5" s="8" t="s">
        <v>18</v>
      </c>
      <c r="B5" s="9" t="s">
        <v>19</v>
      </c>
      <c r="C5" s="9" t="s">
        <v>20</v>
      </c>
      <c r="D5" s="9" t="s">
        <v>21</v>
      </c>
      <c r="E5" s="9" t="s">
        <v>21</v>
      </c>
      <c r="F5" s="9"/>
      <c r="G5" s="8" t="s">
        <v>81</v>
      </c>
    </row>
    <row r="6" spans="1:7" ht="78" customHeight="1" x14ac:dyDescent="0.3">
      <c r="A6" s="8" t="s">
        <v>22</v>
      </c>
      <c r="B6" s="9" t="s">
        <v>23</v>
      </c>
      <c r="C6" s="9" t="s">
        <v>24</v>
      </c>
      <c r="D6" s="9" t="s">
        <v>25</v>
      </c>
      <c r="E6" s="9" t="s">
        <v>84</v>
      </c>
      <c r="F6" s="9"/>
      <c r="G6" s="8" t="s">
        <v>81</v>
      </c>
    </row>
    <row r="7" spans="1:7" ht="61.5" customHeight="1" x14ac:dyDescent="0.3">
      <c r="A7" s="8" t="s">
        <v>26</v>
      </c>
      <c r="B7" s="9" t="s">
        <v>27</v>
      </c>
      <c r="C7" s="9" t="s">
        <v>28</v>
      </c>
      <c r="D7" s="9" t="s">
        <v>29</v>
      </c>
      <c r="E7" s="9" t="s">
        <v>29</v>
      </c>
      <c r="F7" s="9"/>
      <c r="G7" s="8" t="s">
        <v>81</v>
      </c>
    </row>
    <row r="8" spans="1:7" ht="61.5" customHeight="1" x14ac:dyDescent="0.3">
      <c r="A8" s="8" t="s">
        <v>30</v>
      </c>
      <c r="B8" s="9" t="s">
        <v>31</v>
      </c>
      <c r="C8" s="9" t="s">
        <v>32</v>
      </c>
      <c r="D8" s="9" t="s">
        <v>33</v>
      </c>
      <c r="E8" s="9" t="s">
        <v>85</v>
      </c>
      <c r="F8" s="9"/>
      <c r="G8" s="8" t="s">
        <v>81</v>
      </c>
    </row>
    <row r="9" spans="1:7" ht="61.5" customHeight="1" x14ac:dyDescent="0.3">
      <c r="A9" s="8" t="s">
        <v>34</v>
      </c>
      <c r="B9" s="9" t="s">
        <v>35</v>
      </c>
      <c r="C9" s="9" t="s">
        <v>32</v>
      </c>
      <c r="D9" s="9" t="s">
        <v>36</v>
      </c>
      <c r="E9" s="10" t="s">
        <v>36</v>
      </c>
      <c r="F9" s="9"/>
      <c r="G9" s="8" t="s">
        <v>81</v>
      </c>
    </row>
    <row r="10" spans="1:7" ht="61.5" customHeight="1" x14ac:dyDescent="0.3">
      <c r="A10" s="8" t="s">
        <v>37</v>
      </c>
      <c r="B10" s="9" t="s">
        <v>38</v>
      </c>
      <c r="C10" s="9" t="s">
        <v>39</v>
      </c>
      <c r="D10" s="9" t="s">
        <v>40</v>
      </c>
      <c r="E10" s="10" t="s">
        <v>86</v>
      </c>
      <c r="F10" s="9"/>
      <c r="G10" s="11" t="s">
        <v>81</v>
      </c>
    </row>
    <row r="11" spans="1:7" ht="61.5" customHeight="1" x14ac:dyDescent="0.3">
      <c r="A11" s="8" t="s">
        <v>41</v>
      </c>
      <c r="B11" s="9" t="s">
        <v>42</v>
      </c>
      <c r="C11" s="9" t="s">
        <v>43</v>
      </c>
      <c r="D11" s="9" t="s">
        <v>44</v>
      </c>
      <c r="E11" s="10" t="s">
        <v>44</v>
      </c>
      <c r="F11" s="9"/>
      <c r="G11" s="11" t="s">
        <v>81</v>
      </c>
    </row>
    <row r="12" spans="1:7" ht="61.5" customHeight="1" x14ac:dyDescent="0.3">
      <c r="A12" s="8" t="s">
        <v>45</v>
      </c>
      <c r="B12" s="9" t="s">
        <v>46</v>
      </c>
      <c r="C12" s="10" t="s">
        <v>47</v>
      </c>
      <c r="D12" s="9" t="s">
        <v>48</v>
      </c>
      <c r="E12" s="10" t="s">
        <v>87</v>
      </c>
      <c r="F12" s="9"/>
      <c r="G12" s="11" t="s">
        <v>81</v>
      </c>
    </row>
    <row r="13" spans="1:7" ht="61.5" customHeight="1" x14ac:dyDescent="0.3">
      <c r="A13" s="8" t="s">
        <v>49</v>
      </c>
      <c r="B13" s="9" t="s">
        <v>50</v>
      </c>
      <c r="C13" s="9" t="s">
        <v>51</v>
      </c>
      <c r="D13" s="9" t="s">
        <v>52</v>
      </c>
      <c r="E13" s="10" t="s">
        <v>52</v>
      </c>
      <c r="F13" s="9"/>
      <c r="G13" s="11" t="s">
        <v>81</v>
      </c>
    </row>
    <row r="14" spans="1:7" ht="61.5" customHeight="1" x14ac:dyDescent="0.3">
      <c r="A14" s="8" t="s">
        <v>53</v>
      </c>
      <c r="B14" s="9" t="s">
        <v>54</v>
      </c>
      <c r="C14" s="9" t="s">
        <v>55</v>
      </c>
      <c r="D14" s="9" t="s">
        <v>56</v>
      </c>
      <c r="E14" s="10" t="s">
        <v>56</v>
      </c>
      <c r="F14" s="9"/>
      <c r="G14" s="11" t="s">
        <v>81</v>
      </c>
    </row>
    <row r="15" spans="1:7" ht="61.5" customHeight="1" x14ac:dyDescent="0.3">
      <c r="A15" s="8" t="s">
        <v>57</v>
      </c>
      <c r="B15" s="9" t="s">
        <v>58</v>
      </c>
      <c r="C15" s="9" t="s">
        <v>59</v>
      </c>
      <c r="D15" s="9" t="s">
        <v>60</v>
      </c>
      <c r="E15" s="10" t="s">
        <v>60</v>
      </c>
      <c r="F15" s="9"/>
      <c r="G15" s="11" t="s">
        <v>81</v>
      </c>
    </row>
    <row r="16" spans="1:7" ht="91.5" customHeight="1" x14ac:dyDescent="0.3">
      <c r="A16" s="8" t="s">
        <v>61</v>
      </c>
      <c r="B16" s="9" t="s">
        <v>62</v>
      </c>
      <c r="C16" s="9" t="s">
        <v>63</v>
      </c>
      <c r="D16" s="9" t="s">
        <v>64</v>
      </c>
      <c r="E16" s="9"/>
      <c r="F16" s="9"/>
      <c r="G16" s="11" t="s">
        <v>81</v>
      </c>
    </row>
    <row r="17" spans="6:6" x14ac:dyDescent="0.3">
      <c r="F17" s="12"/>
    </row>
  </sheetData>
  <dataValidations count="1">
    <dataValidation type="list" allowBlank="1" error="Choose Pass or Fail" sqref="G2:G16" xr:uid="{00000000-0002-0000-0000-000000000000}">
      <formula1>"Pass,Fail"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zoomScaleNormal="100" workbookViewId="0"/>
  </sheetViews>
  <sheetFormatPr defaultColWidth="8.6640625" defaultRowHeight="14.4" x14ac:dyDescent="0.3"/>
  <cols>
    <col min="1" max="1" width="26" customWidth="1"/>
    <col min="2" max="2" width="12" customWidth="1"/>
  </cols>
  <sheetData>
    <row r="1" spans="1:2" ht="15.6" x14ac:dyDescent="0.3">
      <c r="A1" s="1" t="s">
        <v>65</v>
      </c>
      <c r="B1" s="1"/>
    </row>
    <row r="2" spans="1:2" ht="15.6" x14ac:dyDescent="0.3">
      <c r="A2" s="2" t="s">
        <v>66</v>
      </c>
      <c r="B2" s="3">
        <f>COUNTA('Test Cases'!A2:A16)</f>
        <v>15</v>
      </c>
    </row>
    <row r="3" spans="1:2" ht="15.6" x14ac:dyDescent="0.3">
      <c r="A3" s="2" t="s">
        <v>67</v>
      </c>
      <c r="B3" s="3">
        <f>COUNTIF('Test Cases'!G2:G16,"Pass")</f>
        <v>15</v>
      </c>
    </row>
    <row r="4" spans="1:2" ht="15.6" x14ac:dyDescent="0.3">
      <c r="A4" s="2" t="s">
        <v>68</v>
      </c>
      <c r="B4" s="3">
        <f>COUNTIF('Test Cases'!G2:G16,"Fail")</f>
        <v>0</v>
      </c>
    </row>
    <row r="5" spans="1:2" ht="15.6" x14ac:dyDescent="0.3">
      <c r="A5" s="2" t="s">
        <v>69</v>
      </c>
      <c r="B5" s="3">
        <f>B2-B3-B4</f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3"/>
  <sheetViews>
    <sheetView zoomScaleNormal="100" workbookViewId="0"/>
  </sheetViews>
  <sheetFormatPr defaultColWidth="8.6640625" defaultRowHeight="14.4" x14ac:dyDescent="0.3"/>
  <cols>
    <col min="1" max="1" width="120" customWidth="1"/>
  </cols>
  <sheetData>
    <row r="1" spans="1:1" ht="15.6" x14ac:dyDescent="0.3">
      <c r="A1" s="4" t="s">
        <v>70</v>
      </c>
    </row>
    <row r="2" spans="1:1" ht="15.6" x14ac:dyDescent="0.3">
      <c r="A2" s="5"/>
    </row>
    <row r="3" spans="1:1" ht="15.6" x14ac:dyDescent="0.3">
      <c r="A3" s="5" t="s">
        <v>71</v>
      </c>
    </row>
    <row r="4" spans="1:1" ht="15.6" x14ac:dyDescent="0.3">
      <c r="A4" s="5" t="s">
        <v>72</v>
      </c>
    </row>
    <row r="5" spans="1:1" ht="15.6" x14ac:dyDescent="0.3">
      <c r="A5" s="5" t="s">
        <v>73</v>
      </c>
    </row>
    <row r="6" spans="1:1" ht="15.6" x14ac:dyDescent="0.3">
      <c r="A6" s="5" t="s">
        <v>74</v>
      </c>
    </row>
    <row r="7" spans="1:1" ht="15.6" x14ac:dyDescent="0.3">
      <c r="A7" s="5" t="s">
        <v>75</v>
      </c>
    </row>
    <row r="8" spans="1:1" ht="15.6" x14ac:dyDescent="0.3">
      <c r="A8" s="5" t="s">
        <v>76</v>
      </c>
    </row>
    <row r="9" spans="1:1" ht="15.6" x14ac:dyDescent="0.3">
      <c r="A9" s="5"/>
    </row>
    <row r="10" spans="1:1" ht="15.6" x14ac:dyDescent="0.3">
      <c r="A10" s="5" t="s">
        <v>77</v>
      </c>
    </row>
    <row r="11" spans="1:1" ht="15.6" x14ac:dyDescent="0.3">
      <c r="A11" s="5"/>
    </row>
    <row r="12" spans="1:1" ht="15.6" x14ac:dyDescent="0.3">
      <c r="A12" s="5" t="s">
        <v>78</v>
      </c>
    </row>
    <row r="13" spans="1:1" ht="15.6" x14ac:dyDescent="0.3">
      <c r="A13" s="5" t="s">
        <v>79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Cases</vt:lpstr>
      <vt:lpstr>Summary</vt:lpstr>
      <vt:lpstr>How to use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krisha goswami</cp:lastModifiedBy>
  <cp:revision>0</cp:revision>
  <dcterms:created xsi:type="dcterms:W3CDTF">2026-10-04T12:38:04Z</dcterms:created>
  <dcterms:modified xsi:type="dcterms:W3CDTF">2026-10-04T13:37:14Z</dcterms:modified>
  <dc:language>en-US</dc:language>
</cp:coreProperties>
</file>